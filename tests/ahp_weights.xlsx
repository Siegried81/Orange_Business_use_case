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HP weigh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"/>
    <numFmt numFmtId="166" formatCode="0.0000"/>
  </numFmts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i val="1"/>
      <color rgb="00666666"/>
      <sz val="9"/>
    </font>
    <font>
      <b val="1"/>
      <color rgb="00FFFFFF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FF79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5" fillId="0" borderId="0" pivotButton="0" quotePrefix="0" xfId="0"/>
    <xf numFmtId="0" fontId="4" fillId="2" borderId="1" pivotButton="0" quotePrefix="0" xfId="0"/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4" fontId="5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Scoring weights — AHP pairwise comparison</t>
        </is>
      </c>
    </row>
    <row r="2">
      <c r="A2" s="2" t="inlineStr">
        <is>
          <t>Edit only the yellow cells (upper triangle). Everything else recalculates automatically.</t>
        </is>
      </c>
    </row>
    <row r="4">
      <c r="A4" s="3" t="inlineStr">
        <is>
          <t>Scale: 1 = equal · 3 = moderate · 5 = strong · 7 = very strong · 9 = extreme (2/4/6/8 = in-between)</t>
        </is>
      </c>
    </row>
    <row r="6">
      <c r="B6" s="4" t="inlineStr">
        <is>
          <t>Market Signal Strength</t>
        </is>
      </c>
      <c r="C6" s="4" t="inlineStr">
        <is>
          <t>Evidence Quality</t>
        </is>
      </c>
      <c r="D6" s="4" t="inlineStr">
        <is>
          <t>Source Diversity</t>
        </is>
      </c>
      <c r="E6" s="4" t="inlineStr">
        <is>
          <t>Strategic Relevance</t>
        </is>
      </c>
      <c r="F6" s="4" t="inlineStr">
        <is>
          <t>Novelty Momentum</t>
        </is>
      </c>
      <c r="H6" s="5" t="inlineStr">
        <is>
          <t>Geo. mean</t>
        </is>
      </c>
      <c r="I6" s="5" t="inlineStr">
        <is>
          <t>Weight</t>
        </is>
      </c>
      <c r="K6" s="5" t="inlineStr">
        <is>
          <t>lambda_i</t>
        </is>
      </c>
    </row>
    <row r="7">
      <c r="A7" s="6" t="inlineStr">
        <is>
          <t>Market Signal Strength</t>
        </is>
      </c>
      <c r="B7" s="7" t="n">
        <v>1</v>
      </c>
      <c r="C7" s="8" t="n">
        <v>2</v>
      </c>
      <c r="D7" s="8" t="n">
        <v>3</v>
      </c>
      <c r="E7" s="8" t="n">
        <v>3</v>
      </c>
      <c r="F7" s="8" t="n">
        <v>5</v>
      </c>
      <c r="H7">
        <f>GEOMEAN(B7:F7)</f>
        <v/>
      </c>
      <c r="I7" s="9">
        <f>H7/SUM(H7:H11)</f>
        <v/>
      </c>
      <c r="K7" s="10">
        <f>SUMPRODUCT(B7:F7,TRANSPOSE(I7:I11))/I7</f>
        <v/>
      </c>
    </row>
    <row r="8">
      <c r="A8" s="6" t="inlineStr">
        <is>
          <t>Evidence Quality</t>
        </is>
      </c>
      <c r="B8" s="7">
        <f>1/C7</f>
        <v/>
      </c>
      <c r="C8" s="7" t="n">
        <v>1</v>
      </c>
      <c r="D8" s="8" t="n">
        <v>2</v>
      </c>
      <c r="E8" s="8" t="n">
        <v>3</v>
      </c>
      <c r="F8" s="8" t="n">
        <v>5</v>
      </c>
      <c r="H8">
        <f>GEOMEAN(B8:F8)</f>
        <v/>
      </c>
      <c r="I8" s="9">
        <f>H8/SUM(H7:H11)</f>
        <v/>
      </c>
      <c r="K8" s="10">
        <f>SUMPRODUCT(B8:F8,TRANSPOSE(I7:I11))/I8</f>
        <v/>
      </c>
    </row>
    <row r="9">
      <c r="A9" s="6" t="inlineStr">
        <is>
          <t>Source Diversity</t>
        </is>
      </c>
      <c r="B9" s="7">
        <f>1/D7</f>
        <v/>
      </c>
      <c r="C9" s="7">
        <f>1/D8</f>
        <v/>
      </c>
      <c r="D9" s="7" t="n">
        <v>1</v>
      </c>
      <c r="E9" s="8" t="n">
        <v>1</v>
      </c>
      <c r="F9" s="8" t="n">
        <v>3</v>
      </c>
      <c r="H9">
        <f>GEOMEAN(B9:F9)</f>
        <v/>
      </c>
      <c r="I9" s="9">
        <f>H9/SUM(H7:H11)</f>
        <v/>
      </c>
      <c r="K9" s="10">
        <f>SUMPRODUCT(B9:F9,TRANSPOSE(I7:I11))/I9</f>
        <v/>
      </c>
    </row>
    <row r="10">
      <c r="A10" s="6" t="inlineStr">
        <is>
          <t>Strategic Relevance</t>
        </is>
      </c>
      <c r="B10" s="7">
        <f>1/E7</f>
        <v/>
      </c>
      <c r="C10" s="7">
        <f>1/E8</f>
        <v/>
      </c>
      <c r="D10" s="7">
        <f>1/E9</f>
        <v/>
      </c>
      <c r="E10" s="7" t="n">
        <v>1</v>
      </c>
      <c r="F10" s="8" t="n">
        <v>3</v>
      </c>
      <c r="H10">
        <f>GEOMEAN(B10:F10)</f>
        <v/>
      </c>
      <c r="I10" s="9">
        <f>H10/SUM(H7:H11)</f>
        <v/>
      </c>
      <c r="K10" s="10">
        <f>SUMPRODUCT(B10:F10,TRANSPOSE(I7:I11))/I10</f>
        <v/>
      </c>
    </row>
    <row r="11">
      <c r="A11" s="6" t="inlineStr">
        <is>
          <t>Novelty Momentum</t>
        </is>
      </c>
      <c r="B11" s="7">
        <f>1/F7</f>
        <v/>
      </c>
      <c r="C11" s="7">
        <f>1/F8</f>
        <v/>
      </c>
      <c r="D11" s="7">
        <f>1/F9</f>
        <v/>
      </c>
      <c r="E11" s="7">
        <f>1/F10</f>
        <v/>
      </c>
      <c r="F11" s="7" t="n">
        <v>1</v>
      </c>
      <c r="H11">
        <f>GEOMEAN(B11:F11)</f>
        <v/>
      </c>
      <c r="I11" s="9">
        <f>H11/SUM(H7:H11)</f>
        <v/>
      </c>
      <c r="K11" s="10">
        <f>SUMPRODUCT(B11:F11,TRANSPOSE(I7:I11))/I11</f>
        <v/>
      </c>
    </row>
    <row r="13">
      <c r="A13" s="5" t="inlineStr">
        <is>
          <t>lambda_max (average)</t>
        </is>
      </c>
      <c r="K13" s="10">
        <f>AVERAGE(K7:K11)</f>
        <v/>
      </c>
    </row>
    <row r="14">
      <c r="A14" s="5" t="inlineStr">
        <is>
          <t>CI = (lambda_max - 5) / (5 - 1)</t>
        </is>
      </c>
      <c r="K14" s="11">
        <f>(K13-5)/(5-1)</f>
        <v/>
      </c>
    </row>
    <row r="15">
      <c r="A15" s="5" t="inlineStr">
        <is>
          <t>RI (n=5, Saaty table)</t>
        </is>
      </c>
      <c r="K15" s="12" t="n">
        <v>1.12</v>
      </c>
    </row>
    <row r="16">
      <c r="A16" s="5" t="inlineStr">
        <is>
          <t>CR = CI / RI  (&lt; 0.10 = consistent judgments)</t>
        </is>
      </c>
      <c r="K16" s="13">
        <f>K14/K15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2026-08-27T17:41:46Z</dcterms:created>
  <dcterms:modified xmlns:dcterms="http://purl.org/dc/terms/" xmlns:xsi="http://www.w3.org/2001/XMLSchema-instance" xsi:type="dcterms:W3CDTF">2026-08-27T17:41:46Z</dcterms:modified>
</cp:coreProperties>
</file>